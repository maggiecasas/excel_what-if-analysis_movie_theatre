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maggiecasas/Desktop/"/>
    </mc:Choice>
  </mc:AlternateContent>
  <xr:revisionPtr revIDLastSave="0" documentId="8_{AFA70432-2594-624B-BA34-BD8A2933D71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mperial Theater forecast" sheetId="1" r:id="rId1"/>
    <sheet name="goal_seek" sheetId="7" r:id="rId2"/>
    <sheet name="Scenario Summary " sheetId="9" r:id="rId3"/>
  </sheets>
  <definedNames>
    <definedName name="Annual_Expenses">goal_seek!$C$20</definedName>
    <definedName name="Assumptions">goal_seek!$C$4</definedName>
    <definedName name="Box_office_ticket_price">goal_seek!$C$5</definedName>
    <definedName name="Box_office_ticket_revenue">goal_seek!$C$15</definedName>
    <definedName name="Box_office_tickets_sold">goal_seek!$C$6</definedName>
    <definedName name="CC_processing_fee_transaction">goal_seek!$C$12</definedName>
    <definedName name="CC_processing_fees">goal_seek!$C$21</definedName>
    <definedName name="Concession_stand_revenue">goal_seek!$C$17</definedName>
    <definedName name="Credit_card_percentage">goal_seek!$C$10</definedName>
    <definedName name="Food_Order">goal_seek!$C$24</definedName>
    <definedName name="Imperial_Movie_Theatre">goal_seek!$C$2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41962.0122453704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et_Profit">goal_seek!$C$28</definedName>
    <definedName name="Online_ticket_percentage">goal_seek!$C$11</definedName>
    <definedName name="Online_ticket_price">goal_seek!$C$7</definedName>
    <definedName name="Online_ticket_revenue">goal_seek!$C$16</definedName>
    <definedName name="Online_tickets_sold">goal_seek!$C$8</definedName>
    <definedName name="Profit">goal_seek!$C$27</definedName>
    <definedName name="solver_adj" localSheetId="1" hidden="1">goal_seek!$C$6,goal_seek!$C$8</definedName>
    <definedName name="solver_adj" localSheetId="0" hidden="1">'Imperial Theater forecast'!$C$6,'Imperial Theater forecast'!$C$8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goal_seek!$C$25</definedName>
    <definedName name="solver_lhs1" localSheetId="0" hidden="1">'Imperial Theater forecast'!$C$25</definedName>
    <definedName name="solver_lhs2" localSheetId="1" hidden="1">goal_seek!$C$25</definedName>
    <definedName name="solver_lhs2" localSheetId="0" hidden="1">'Imperial Theater forecast'!$C$25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goal_seek!$C$25</definedName>
    <definedName name="solver_opt" localSheetId="0" hidden="1">'Imperial Theater forecast'!$C$25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el1" localSheetId="1" hidden="1">1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hs1" localSheetId="1" hidden="1">1700000</definedName>
    <definedName name="solver_rhs1" localSheetId="0" hidden="1">1700000</definedName>
    <definedName name="solver_rhs2" localSheetId="1" hidden="1">1500000</definedName>
    <definedName name="solver_rhs2" localSheetId="0" hidden="1">1500000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800000</definedName>
    <definedName name="solver_val" localSheetId="0" hidden="1">800000</definedName>
    <definedName name="solver_ver" localSheetId="1" hidden="1">3</definedName>
    <definedName name="solver_ver" localSheetId="0" hidden="1">3</definedName>
    <definedName name="Staff__Part_time__Full_time">goal_seek!$C$23</definedName>
    <definedName name="Ticket_Sales">goal_seek!$C$14</definedName>
    <definedName name="Total_expenses">goal_seek!$C$25</definedName>
    <definedName name="Total_Sales">goal_seek!$C$18</definedName>
    <definedName name="Total_Tickets_sold">goal_seek!$C$9</definedName>
    <definedName name="Web_hosting_fee">goal_seek!$C$22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7" l="1"/>
  <c r="C15" i="7"/>
  <c r="C9" i="7"/>
  <c r="C11" i="7" s="1"/>
  <c r="H9" i="1"/>
  <c r="F11" i="1"/>
  <c r="C18" i="7" l="1"/>
  <c r="C21" i="7"/>
  <c r="C25" i="7" s="1"/>
  <c r="C28" i="7" l="1"/>
  <c r="F4" i="1"/>
  <c r="C16" i="1"/>
  <c r="C15" i="1" l="1"/>
  <c r="C18" i="1" s="1"/>
  <c r="F5" i="1" s="1"/>
  <c r="C9" i="1" l="1"/>
  <c r="C21" i="1" s="1"/>
  <c r="C11" i="1" l="1"/>
  <c r="C25" i="1" l="1"/>
  <c r="C28" i="1" l="1"/>
  <c r="F6" i="1" l="1"/>
  <c r="G10" i="1"/>
</calcChain>
</file>

<file path=xl/sharedStrings.xml><?xml version="1.0" encoding="utf-8"?>
<sst xmlns="http://schemas.openxmlformats.org/spreadsheetml/2006/main" count="70" uniqueCount="45">
  <si>
    <t>Total Tickets sold</t>
  </si>
  <si>
    <t>Assumptions</t>
  </si>
  <si>
    <t>CC processing fee/transaction</t>
  </si>
  <si>
    <t>Total Sales</t>
  </si>
  <si>
    <t>CC processing fees</t>
  </si>
  <si>
    <t>Web hosting fee</t>
  </si>
  <si>
    <t>Profit</t>
  </si>
  <si>
    <t>Net Profit</t>
  </si>
  <si>
    <t>Credit card percentage</t>
  </si>
  <si>
    <t>Ticket Sales</t>
  </si>
  <si>
    <t>Online ticket percentage</t>
  </si>
  <si>
    <t>Online ticket price</t>
  </si>
  <si>
    <t>Annual Expenses</t>
  </si>
  <si>
    <t>Staff (Part-time/ Full-time)</t>
  </si>
  <si>
    <t>Food Order</t>
  </si>
  <si>
    <t>Total expenses</t>
  </si>
  <si>
    <t>Box-office ticket revenue</t>
  </si>
  <si>
    <t>Online ticket revenue</t>
  </si>
  <si>
    <t>Concession stand revenue</t>
  </si>
  <si>
    <t>Box-office ticket price</t>
  </si>
  <si>
    <t>Box-office tickets sold</t>
  </si>
  <si>
    <t>Online tickets sold</t>
  </si>
  <si>
    <t>Minimum Profit Target</t>
  </si>
  <si>
    <t>Imperial Movie Theatre</t>
  </si>
  <si>
    <t>Box_office_ticket_price</t>
  </si>
  <si>
    <t>Box_office_tickets_sold</t>
  </si>
  <si>
    <t>Online_ticket_price</t>
  </si>
  <si>
    <t>Online_tickets_sold</t>
  </si>
  <si>
    <t>CC_processing_fee_transaction</t>
  </si>
  <si>
    <t>Concession_stand_revenue</t>
  </si>
  <si>
    <t>Staff__Part_time__Full_time</t>
  </si>
  <si>
    <t>Food_Order</t>
  </si>
  <si>
    <t>Net_Profit</t>
  </si>
  <si>
    <t>Current</t>
  </si>
  <si>
    <t>Created by Microsoft Office User on 11/15/2025</t>
  </si>
  <si>
    <t>IncreaseRevenue</t>
  </si>
  <si>
    <t>DecreaseExpenses</t>
  </si>
  <si>
    <t>Scenario Summary</t>
  </si>
  <si>
    <t>Changing Cells: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</si>
  <si>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</si>
  <si>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</si>
  <si>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</si>
  <si>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</si>
  <si>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Total_Sales</t>
  </si>
  <si>
    <t>Total_expenses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</si>
</sst>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&quot;Total Sales&quot;"/>
    <numFmt numFmtId="167" formatCode="&quot;Net Profit&quot;"/>
    <numFmt numFmtId="168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164" fontId="0" fillId="4" borderId="0" xfId="0" applyNumberFormat="1" applyFill="1"/>
    <xf numFmtId="0" fontId="1" fillId="0" borderId="0" xfId="1"/>
    <xf numFmtId="1" fontId="0" fillId="0" borderId="0" xfId="2" applyNumberFormat="1" applyFont="1"/>
    <xf numFmtId="0" fontId="2" fillId="0" borderId="0" xfId="3" applyFont="1" applyAlignment="1">
      <alignment horizontal="center"/>
    </xf>
    <xf numFmtId="44" fontId="0" fillId="0" borderId="0" xfId="4" applyFont="1"/>
    <xf numFmtId="0" fontId="1" fillId="0" borderId="0" xfId="5" applyAlignment="1">
      <alignment horizontal="left"/>
    </xf>
    <xf numFmtId="0" fontId="5" fillId="0" borderId="0" xfId="6" applyFont="1"/>
    <xf numFmtId="0" fontId="3" fillId="2" borderId="0" xfId="7" applyFont="1" applyFill="1"/>
    <xf numFmtId="10" fontId="0" fillId="0" borderId="0" xfId="8" applyNumberFormat="1" applyFont="1"/>
    <xf numFmtId="0" fontId="0" fillId="0" borderId="0" xfId="9" applyNumberFormat="1" applyFont="1"/>
    <xf numFmtId="164" fontId="0" fillId="0" borderId="0" xfId="10" applyNumberFormat="1" applyFont="1"/>
    <xf numFmtId="165" fontId="0" fillId="0" borderId="0" xfId="11" applyNumberFormat="1" applyFont="1"/>
    <xf numFmtId="164" fontId="1" fillId="0" borderId="0" xfId="12" applyNumberFormat="1"/>
    <xf numFmtId="164" fontId="0" fillId="0" borderId="0" xfId="13" applyNumberFormat="1" applyFont="1"/>
    <xf numFmtId="164" fontId="2" fillId="0" borderId="0" xfId="14" applyNumberFormat="1" applyFont="1"/>
    <xf numFmtId="6" fontId="1" fillId="3" borderId="0" xfId="15" applyNumberFormat="1" applyFill="1"/>
    <xf numFmtId="0" fontId="1" fillId="5" borderId="0" xfId="18" applyFill="1"/>
    <xf numFmtId="165" fontId="0" fillId="6" borderId="0" xfId="19" applyNumberFormat="1" applyFont="1" applyFill="1"/>
    <xf numFmtId="0" fontId="2" fillId="5" borderId="0" xfId="20" applyFont="1" applyFill="1"/>
    <xf numFmtId="8" fontId="1" fillId="4" borderId="0" xfId="23" applyNumberFormat="1" applyFill="1"/>
    <xf numFmtId="166" fontId="0" fillId="7" borderId="0" xfId="0" applyNumberFormat="1" applyFill="1"/>
    <xf numFmtId="167" fontId="0" fillId="7" borderId="0" xfId="0" applyNumberFormat="1" applyFill="1"/>
    <xf numFmtId="168" fontId="0" fillId="0" borderId="0" xfId="0" applyNumberFormat="1"/>
    <xf numFmtId="164" fontId="0" fillId="0" borderId="0" xfId="0" applyNumberFormat="1"/>
    <xf numFmtId="164" fontId="0" fillId="0" borderId="2" xfId="0" applyNumberFormat="1" applyBorder="1"/>
    <xf numFmtId="0" fontId="6" fillId="8" borderId="3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0" fillId="0" borderId="4" xfId="0" applyBorder="1"/>
    <xf numFmtId="0" fontId="7" fillId="9" borderId="0" xfId="0" applyFont="1" applyFill="1" applyAlignment="1">
      <alignment horizontal="left"/>
    </xf>
    <xf numFmtId="0" fontId="8" fillId="9" borderId="4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right"/>
    </xf>
    <xf numFmtId="0" fontId="9" fillId="8" borderId="3" xfId="0" applyFont="1" applyFill="1" applyBorder="1" applyAlignment="1">
      <alignment horizontal="right"/>
    </xf>
    <xf numFmtId="164" fontId="0" fillId="10" borderId="0" xfId="0" applyNumberFormat="1" applyFill="1"/>
    <xf numFmtId="165" fontId="0" fillId="10" borderId="0" xfId="0" applyNumberFormat="1" applyFill="1"/>
    <xf numFmtId="0" fontId="0" fillId="10" borderId="0" xfId="0" applyFill="1"/>
    <xf numFmtId="0" fontId="10" fillId="0" borderId="0" xfId="0" applyFont="1" applyAlignment="1">
      <alignment vertical="top" wrapText="1"/>
    </xf>
    <xf numFmtId="0" fontId="3" fillId="2" borderId="0" xfId="16" applyFont="1" applyFill="1"/>
    <xf numFmtId="0" fontId="4" fillId="2" borderId="0" xfId="17" applyFont="1" applyFill="1" applyAlignment="1">
      <alignment horizontal="center"/>
    </xf>
    <xf numFmtId="0" fontId="2" fillId="5" borderId="0" xfId="21" applyFont="1" applyFill="1" applyAlignment="1">
      <alignment horizontal="center"/>
    </xf>
    <xf numFmtId="0" fontId="2" fillId="5" borderId="0" xfId="22" applyFont="1" applyFill="1" applyAlignment="1">
      <alignment horizontal="center" vertical="center" wrapText="1"/>
    </xf>
    <xf numFmtId="164" fontId="2" fillId="11" borderId="0" xfId="24" applyNumberFormat="1" applyFont="1" applyFill="1"/>
  </cellXfs>
  <cellStyles count="25">
    <cellStyle name="7hu4hN8ysp50U/vI8ej6tJdD8fE4jG8QIHHgAd+wDb1BSDIwaZ+E9rnHdhhB4yQHLbFWDiXB8s7k6KrhloqSUWK6jUdA3wCY-~aetIIhlpQzCxynVHiOUfBA==" xfId="12" xr:uid="{00000000-0005-0000-0000-00000F000000}"/>
    <cellStyle name="9MFYKIelZZAn6wqoJpEcZ/GpfJIPDXjjmq+stUGDnjtA17eHg3sauQA/kahwBayXGQf2sk/XnC9ZP6vauadjlASmKUjZIQpB-~XE4v+Xm0wLiRtMzb8HTohQ==" xfId="16" xr:uid="{00000000-0005-0000-0000-000013000000}"/>
    <cellStyle name="ABrYf4LWLwiF+4Oic4fJ500Oykbpd99B7vvfXfPzsjku6MqK8Pn7+uJ4dgwj92CD1SCBENc4gPQCu5+OjpM6aVY3OTv6MQdt-~YfR+6qYZtvV2UgYB5jbC9A==" xfId="22" xr:uid="{00000000-0005-0000-0000-000019000000}"/>
    <cellStyle name="AFy3194s5nCoO9mkIjBD8wdfOdDA2y4PNtseEYDxYRHTefLH4x3KOiYeYGoGAelxxAUkTWVoVCF6I1oxyeBibGb0We/JKbFs-~zcGyt4UsKBDBbbM0uXdOzQ==" xfId="7" xr:uid="{00000000-0005-0000-0000-00000A000000}"/>
    <cellStyle name="flddRcHCUbMOgztWPfi0iaEy/Fu5wrjLCCWvbg0KpRlsdmCi01Rni84x4rKwrJOVBYawbwaFZaNVhFAecXqWriJBUH+VWx3/-~VumKYu/eFviyrEP3x/fGNw==" xfId="11" xr:uid="{00000000-0005-0000-0000-00000E000000}"/>
    <cellStyle name="GfqmY26dpnpxRIZrGx5X2Amt6bciPdSk5dW+TfGtPIdo1kxENd9LDefh7rs3dn+UEahvOc/br/hl8HRA/FwM8Y9eHGg+f2Qp-~jpEM4OGOdLm6d2v9xXsLlA==" xfId="19" xr:uid="{00000000-0005-0000-0000-000016000000}"/>
    <cellStyle name="H5uLe8VbhIn+akXn/ASNjEGSaXO9EafnoXYcYVeJK0jHrStZ7GPtN91zBkbUGvPQjf2R7AeQIczrLvSyuLboQo19P9IO/zKG-~vVkbZMicuTN0lIdU+D84gQ==" xfId="5" xr:uid="{00000000-0005-0000-0000-000008000000}"/>
    <cellStyle name="ifvqrflaNHT1rGlzoHgUEt8S2rgKYTK4wBj6dyWj/atJ5zwBiaB0+fHrrFOohPbJHjLpe1OQu12YiXt2fHSgF9v1s8ZjFBZn-~IIieBQ6Zr5oU9+g+u9UGFw==" xfId="18" xr:uid="{00000000-0005-0000-0000-000015000000}"/>
    <cellStyle name="Iw7Ss/dYFzO1kHNxsAKjaaxrRTv3eXrWiYbge1gZc9NWCMN+Hj3SAyfMfzjV1P4Fd/Rxf4CZs9B06lCALJ+/o/mtZ22C70Cv-~F1ukA17v/CcuAUjx1dfnKg==" xfId="23" xr:uid="{00000000-0005-0000-0000-00001A000000}"/>
    <cellStyle name="jYjyhEbRVPqTVGaJGBhWWKQtvFWaZyioVNH3CklunQGfkJx07qay9nqqb7dHvdPM1h2tGb8mNj5s/r/guV9qCPVpBuCv8Up8-~4qofzt9aA9O8u/drKZC03w==" xfId="9" xr:uid="{00000000-0005-0000-0000-00000C000000}"/>
    <cellStyle name="KFBDQtYOl/52xf4LRRH/uRQeoGeTvEDEVUHA/YfAWGfKq5OFpr9Ds4+FwUj6mfD7/Cisj0tQVVzL3n26BCXuLMmz0jrbdGv5-~UqESEpTRyCl3BBwamaQF4g==" xfId="4" xr:uid="{00000000-0005-0000-0000-000007000000}"/>
    <cellStyle name="kR3JUsYHDwSwduWWFuhqrPTKOlSC4Ic8WylBQDQx+6r1H3KQRj1TMPzOXEpHCjlD6Vxc8tH8w9Prohuh9JbhsOA/pbRpEoY7-~8wB/tiYAB8713mo6++H7SA==" xfId="8" xr:uid="{00000000-0005-0000-0000-00000B000000}"/>
    <cellStyle name="mns+bEknt+s0CT5j4EE2lwWonetI5VprwW7CSrblFj4Wxe1ZZi0ugmCLgKYlemqEVBm2P/5dq8Zy0FOOsBoNCQ/Q5p2iY0Pz-~yHhV4bQVFwiRNKBvv6Z4eg==" xfId="15" xr:uid="{00000000-0005-0000-0000-000012000000}"/>
    <cellStyle name="Normal" xfId="0" builtinId="0"/>
    <cellStyle name="Ow2B4hGSpiu+Oq9mwQh0+I2kE8bwfXVuLDb5MuFFlfN2PYgV8S3QIexNALPSeLHObBh69FA1DBsMK2VqkAPIGu3FptPIO8CJ-~gAUlImZ4npaH8sNKpbcWuQ==" xfId="17" xr:uid="{00000000-0005-0000-0000-000014000000}"/>
    <cellStyle name="PbhBJjI9HoCvtYn2lUtvxlUh2OJxJ7NjrESl35Lsrcs7+BEPbH3rXLdGmUVnODCRtKnFKqMucMvAMMQ+ALuEbrf7bjWLPeLj-~DujyU8+yENWJN1cNmqzbcg==" xfId="1" xr:uid="{00000000-0005-0000-0000-000004000000}"/>
    <cellStyle name="PBMGC9fRkoFbVhR7wryDDcu/QhJlW6dSde57+IxMX/y1U6W17C48zQBH2sRKD7oMJOeKRkaLY6ED++MuCek/yhLpQIjfwh67-~or2Cto88rJ555eF1BAaWzA==" xfId="20" xr:uid="{00000000-0005-0000-0000-000017000000}"/>
    <cellStyle name="QTYfhrGLOL5tEqIcTIz4aRwic6rnMWp87Jh8YPbCiY4QhmjX2W7zoX0urU5nJqa/8GeflPlr16NIiuA1bQEHyKqFcUiRleh5-~ze/I6z09L2kQVGtYXl+k0A==" xfId="13" xr:uid="{00000000-0005-0000-0000-000010000000}"/>
    <cellStyle name="REK24DuHM1L0BHy2aVT8cFvOsUvJfsf/DqUt4H6hlFD080FIRv8T5WzDzRTj1qM8SxVzo2eehzTrABB5hjeMNsy3YRt7yPSp-~zWiY6rf/4AFrS6/7N26RYA==" xfId="6" xr:uid="{00000000-0005-0000-0000-000009000000}"/>
    <cellStyle name="tmVHI7fVgxpYuFg2m9u4FMrpbhoNS+as4/s85L69niEP0rqLdmOEw4K7SNRdWlu+C+7Z4w1/EPDTCQiFJbKYuwBEhSa2wO6b-~0wKkj0H5Y31ZICc3kTvIrw==" xfId="24" xr:uid="{00000000-0005-0000-0000-00001B000000}"/>
    <cellStyle name="u/xu0euCdXiuGypT9kUQ/tXH5DlW2ONNSvodNT6ciBj5yZHrcIyhGYjyhnslPbuhdvQaAYSCeconjt4I8WACu+kF5DUcXkW0-~Ki9ATiqy+7WOtcKCPSb1jg==" xfId="14" xr:uid="{00000000-0005-0000-0000-000011000000}"/>
    <cellStyle name="ybR6oApa4Nf6q4U1/pDj8YW1OdEvWiHA006m5HlNq3js5MDNX2JOE5W3P1QUks0q7lYRTAuC0qwIQ0VsxEMz0Z/HchV/AFDU-~BnnuMSsviGz03PjRD6FsrA==" xfId="10" xr:uid="{00000000-0005-0000-0000-00000D000000}"/>
    <cellStyle name="Z/KgC4H1Rtgt5rZlVLUgOH0/BAfaps9NktQAv5+8p55sgF5IjiL9Oi17stCWWxTwm18FAA8KQx7WTIN+tN0d5TjtS+FRvupd-~VOzBc8M1s4f0YF1jaAKwdQ==" xfId="2" xr:uid="{00000000-0005-0000-0000-000005000000}"/>
    <cellStyle name="zcg7i9381A6O/4TTgqrq54M83A3uTmPp3zCJcw3U/zNMbN7KYHtCev8BfUogI76Li+xdXnd+yioYFbIK9/LMr1i4e1TKp482-~aPf8I5shlaz/2BzzwhxV7Q==" xfId="3" xr:uid="{00000000-0005-0000-0000-000006000000}"/>
    <cellStyle name="ZtwZIoyv5cOuaJ9J74aH3bmW+DFbQqiAMkM1V2dCmZVaX82RzRTfuRjiF3z46XLgBJP0WckvT1t2WJXO2ImSrNNote8BxZKC-~kvKVyVcSsnWRjoN7PwbaKA==" xfId="21" xr:uid="{00000000-0005-0000-0000-00001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1"/>
  <sheetViews>
    <sheetView tabSelected="1" workbookViewId="0">
      <selection activeCell="H22" sqref="H22"/>
    </sheetView>
  </sheetViews>
  <sheetFormatPr baseColWidth="10" defaultColWidth="8.83203125" defaultRowHeight="15" x14ac:dyDescent="0.2"/>
  <cols>
    <col min="1" max="1" width="3.1640625" customWidth="1"/>
    <col min="2" max="2" width="30.83203125" bestFit="1" customWidth="1"/>
    <col min="3" max="3" width="14.33203125" bestFit="1" customWidth="1"/>
    <col min="4" max="4" width="6.5" customWidth="1"/>
    <col min="5" max="5" width="6.1640625" customWidth="1"/>
    <col min="6" max="6" width="19.6640625" customWidth="1"/>
    <col min="7" max="7" width="20.5" customWidth="1"/>
    <col min="8" max="8" width="14.5" bestFit="1" customWidth="1"/>
    <col min="9" max="9" width="12.5" customWidth="1"/>
    <col min="10" max="13" width="14.5" bestFit="1" customWidth="1"/>
    <col min="14" max="14" width="14.83203125" bestFit="1" customWidth="1"/>
    <col min="15" max="15" width="12.6640625" bestFit="1" customWidth="1"/>
  </cols>
  <sheetData>
    <row r="2" spans="2:15" ht="21" x14ac:dyDescent="0.25">
      <c r="B2" s="39" t="s">
        <v>23</v>
      </c>
      <c r="C2" s="39"/>
    </row>
    <row r="4" spans="2:15" ht="16" x14ac:dyDescent="0.2">
      <c r="B4" s="38" t="s">
        <v>1</v>
      </c>
      <c r="C4" s="38"/>
      <c r="F4" s="19" t="str">
        <f>B6</f>
        <v>Box-office tickets sold</v>
      </c>
      <c r="G4" s="18">
        <v>30000</v>
      </c>
      <c r="H4" s="18">
        <v>35000</v>
      </c>
      <c r="I4" s="18">
        <v>40000</v>
      </c>
      <c r="J4" s="18">
        <v>45000</v>
      </c>
      <c r="K4" s="18">
        <v>50000</v>
      </c>
      <c r="L4" s="18">
        <v>55000</v>
      </c>
      <c r="M4" s="18">
        <v>60000</v>
      </c>
      <c r="N4" s="18">
        <v>65000</v>
      </c>
    </row>
    <row r="5" spans="2:15" x14ac:dyDescent="0.2">
      <c r="B5" s="2" t="s">
        <v>19</v>
      </c>
      <c r="C5" s="11">
        <v>11</v>
      </c>
      <c r="F5" s="21">
        <f>C18</f>
        <v>2425000</v>
      </c>
      <c r="G5" s="23">
        <f t="dataTable" ref="G5:N6" dt2D="0" dtr="1" r1="C6" ca="1"/>
        <v>2205000</v>
      </c>
      <c r="H5" s="23">
        <v>2260000</v>
      </c>
      <c r="I5" s="23">
        <v>2315000</v>
      </c>
      <c r="J5" s="23">
        <v>2370000</v>
      </c>
      <c r="K5" s="23">
        <v>2425000</v>
      </c>
      <c r="L5" s="23">
        <v>2480000</v>
      </c>
      <c r="M5" s="23">
        <v>2535000</v>
      </c>
      <c r="N5" s="23">
        <v>2590000</v>
      </c>
    </row>
    <row r="6" spans="2:15" x14ac:dyDescent="0.2">
      <c r="B6" s="2" t="s">
        <v>20</v>
      </c>
      <c r="C6" s="12">
        <v>50000</v>
      </c>
      <c r="F6" s="22">
        <f>C28</f>
        <v>848220</v>
      </c>
      <c r="G6" s="23">
        <v>648220</v>
      </c>
      <c r="H6" s="23">
        <v>698220</v>
      </c>
      <c r="I6" s="23">
        <v>748220</v>
      </c>
      <c r="J6" s="23">
        <v>798220</v>
      </c>
      <c r="K6" s="23">
        <v>848220</v>
      </c>
      <c r="L6" s="23">
        <v>898220</v>
      </c>
      <c r="M6" s="23">
        <v>948220</v>
      </c>
      <c r="N6" s="23">
        <v>998220</v>
      </c>
    </row>
    <row r="7" spans="2:15" x14ac:dyDescent="0.2">
      <c r="B7" s="2" t="s">
        <v>11</v>
      </c>
      <c r="C7" s="11">
        <v>9</v>
      </c>
    </row>
    <row r="8" spans="2:15" x14ac:dyDescent="0.2">
      <c r="B8" s="2" t="s">
        <v>21</v>
      </c>
      <c r="C8" s="10">
        <v>75000</v>
      </c>
    </row>
    <row r="9" spans="2:15" x14ac:dyDescent="0.2">
      <c r="B9" s="6" t="s">
        <v>0</v>
      </c>
      <c r="C9" s="3">
        <f>C6+C8</f>
        <v>125000</v>
      </c>
      <c r="F9" s="17"/>
      <c r="G9" s="17"/>
      <c r="H9" s="40" t="str">
        <f>B7</f>
        <v>Online ticket price</v>
      </c>
      <c r="I9" s="40"/>
      <c r="J9" s="40"/>
      <c r="K9" s="40"/>
      <c r="L9" s="40"/>
      <c r="M9" s="40"/>
      <c r="N9" s="40"/>
      <c r="O9" s="40"/>
    </row>
    <row r="10" spans="2:15" x14ac:dyDescent="0.2">
      <c r="B10" s="2" t="s">
        <v>8</v>
      </c>
      <c r="C10" s="9">
        <v>0.8</v>
      </c>
      <c r="F10" s="17"/>
      <c r="G10" s="1">
        <f>C28</f>
        <v>848220</v>
      </c>
      <c r="H10" s="20">
        <v>8</v>
      </c>
      <c r="I10" s="20">
        <v>8.5</v>
      </c>
      <c r="J10" s="20">
        <v>9</v>
      </c>
      <c r="K10" s="20">
        <v>9.5</v>
      </c>
      <c r="L10" s="20">
        <v>10</v>
      </c>
      <c r="M10" s="20">
        <v>10.5</v>
      </c>
      <c r="N10" s="20">
        <v>11</v>
      </c>
      <c r="O10" s="20">
        <v>11.5</v>
      </c>
    </row>
    <row r="11" spans="2:15" x14ac:dyDescent="0.2">
      <c r="B11" s="2" t="s">
        <v>10</v>
      </c>
      <c r="C11" s="9">
        <f>C8/C9</f>
        <v>0.6</v>
      </c>
      <c r="F11" s="41" t="str">
        <f>B12</f>
        <v>CC processing fee/transaction</v>
      </c>
      <c r="G11" s="20">
        <v>0.75</v>
      </c>
      <c r="H11" s="23">
        <f t="dataTable" ref="H11:O18" dt2D="1" dtr="1" r1="C7" r2="C12"/>
        <v>823220</v>
      </c>
      <c r="I11" s="23">
        <v>860720</v>
      </c>
      <c r="J11" s="23">
        <v>898220</v>
      </c>
      <c r="K11" s="23">
        <v>935720</v>
      </c>
      <c r="L11" s="23">
        <v>973220</v>
      </c>
      <c r="M11" s="23">
        <v>1010720</v>
      </c>
      <c r="N11" s="23">
        <v>1048220</v>
      </c>
      <c r="O11" s="23">
        <v>1085720</v>
      </c>
    </row>
    <row r="12" spans="2:15" x14ac:dyDescent="0.2">
      <c r="B12" s="2" t="s">
        <v>2</v>
      </c>
      <c r="C12" s="11">
        <v>1.25</v>
      </c>
      <c r="F12" s="41"/>
      <c r="G12" s="20">
        <v>0.9</v>
      </c>
      <c r="H12" s="23">
        <v>808220</v>
      </c>
      <c r="I12" s="23">
        <v>845720</v>
      </c>
      <c r="J12" s="23">
        <v>883220</v>
      </c>
      <c r="K12" s="23">
        <v>920720</v>
      </c>
      <c r="L12" s="23">
        <v>958220</v>
      </c>
      <c r="M12" s="23">
        <v>995720</v>
      </c>
      <c r="N12" s="23">
        <v>1033220</v>
      </c>
      <c r="O12" s="23">
        <v>1070720</v>
      </c>
    </row>
    <row r="13" spans="2:15" x14ac:dyDescent="0.2">
      <c r="F13" s="41"/>
      <c r="G13" s="20">
        <v>1.05</v>
      </c>
      <c r="H13" s="23">
        <v>793220</v>
      </c>
      <c r="I13" s="23">
        <v>830720</v>
      </c>
      <c r="J13" s="23">
        <v>868220</v>
      </c>
      <c r="K13" s="23">
        <v>905720</v>
      </c>
      <c r="L13" s="23">
        <v>943220</v>
      </c>
      <c r="M13" s="23">
        <v>980720</v>
      </c>
      <c r="N13" s="23">
        <v>1018220</v>
      </c>
      <c r="O13" s="23">
        <v>1055720</v>
      </c>
    </row>
    <row r="14" spans="2:15" ht="16" x14ac:dyDescent="0.2">
      <c r="B14" s="38" t="s">
        <v>9</v>
      </c>
      <c r="C14" s="38"/>
      <c r="F14" s="41"/>
      <c r="G14" s="20">
        <v>1.2</v>
      </c>
      <c r="H14" s="23">
        <v>778220</v>
      </c>
      <c r="I14" s="23">
        <v>815720</v>
      </c>
      <c r="J14" s="23">
        <v>853220</v>
      </c>
      <c r="K14" s="23">
        <v>890720</v>
      </c>
      <c r="L14" s="23">
        <v>928220</v>
      </c>
      <c r="M14" s="23">
        <v>965720</v>
      </c>
      <c r="N14" s="23">
        <v>1003220</v>
      </c>
      <c r="O14" s="23">
        <v>1040720</v>
      </c>
    </row>
    <row r="15" spans="2:15" ht="16" x14ac:dyDescent="0.2">
      <c r="B15" s="7" t="s">
        <v>16</v>
      </c>
      <c r="C15" s="11">
        <f>C6*C5</f>
        <v>550000</v>
      </c>
      <c r="F15" s="41"/>
      <c r="G15" s="20">
        <v>1.35</v>
      </c>
      <c r="H15" s="23">
        <v>763220</v>
      </c>
      <c r="I15" s="23">
        <v>800720</v>
      </c>
      <c r="J15" s="23">
        <v>838220</v>
      </c>
      <c r="K15" s="23">
        <v>875720</v>
      </c>
      <c r="L15" s="23">
        <v>913220</v>
      </c>
      <c r="M15" s="23">
        <v>950720</v>
      </c>
      <c r="N15" s="23">
        <v>988220</v>
      </c>
      <c r="O15" s="23">
        <v>1025720</v>
      </c>
    </row>
    <row r="16" spans="2:15" ht="16" x14ac:dyDescent="0.2">
      <c r="B16" s="7" t="s">
        <v>17</v>
      </c>
      <c r="C16" s="11">
        <f>C7*C8</f>
        <v>675000</v>
      </c>
      <c r="F16" s="41"/>
      <c r="G16" s="20">
        <v>1.5</v>
      </c>
      <c r="H16" s="23">
        <v>748220</v>
      </c>
      <c r="I16" s="23">
        <v>785720</v>
      </c>
      <c r="J16" s="23">
        <v>823220</v>
      </c>
      <c r="K16" s="23">
        <v>860720</v>
      </c>
      <c r="L16" s="23">
        <v>898220</v>
      </c>
      <c r="M16" s="23">
        <v>935720</v>
      </c>
      <c r="N16" s="23">
        <v>973220</v>
      </c>
      <c r="O16" s="23">
        <v>1010720</v>
      </c>
    </row>
    <row r="17" spans="2:15" x14ac:dyDescent="0.2">
      <c r="B17" s="2" t="s">
        <v>18</v>
      </c>
      <c r="C17" s="11">
        <v>1200000</v>
      </c>
      <c r="F17" s="41"/>
      <c r="G17" s="20">
        <v>1.65</v>
      </c>
      <c r="H17" s="23">
        <v>733220</v>
      </c>
      <c r="I17" s="23">
        <v>770720</v>
      </c>
      <c r="J17" s="23">
        <v>808220</v>
      </c>
      <c r="K17" s="23">
        <v>845720</v>
      </c>
      <c r="L17" s="23">
        <v>883220</v>
      </c>
      <c r="M17" s="23">
        <v>920720</v>
      </c>
      <c r="N17" s="23">
        <v>958220</v>
      </c>
      <c r="O17" s="23">
        <v>995720</v>
      </c>
    </row>
    <row r="18" spans="2:15" x14ac:dyDescent="0.2">
      <c r="B18" s="4" t="s">
        <v>3</v>
      </c>
      <c r="C18" s="15">
        <f>SUM(C15:C17)</f>
        <v>2425000</v>
      </c>
      <c r="F18" s="41"/>
      <c r="G18" s="20">
        <v>1.8</v>
      </c>
      <c r="H18" s="23">
        <v>718220</v>
      </c>
      <c r="I18" s="23">
        <v>755720</v>
      </c>
      <c r="J18" s="23">
        <v>793220</v>
      </c>
      <c r="K18" s="23">
        <v>830720</v>
      </c>
      <c r="L18" s="23">
        <v>868220</v>
      </c>
      <c r="M18" s="23">
        <v>905720</v>
      </c>
      <c r="N18" s="23">
        <v>943220</v>
      </c>
      <c r="O18" s="23">
        <v>980720</v>
      </c>
    </row>
    <row r="20" spans="2:15" ht="16" x14ac:dyDescent="0.2">
      <c r="B20" s="8" t="s">
        <v>12</v>
      </c>
      <c r="C20" s="8"/>
    </row>
    <row r="21" spans="2:15" x14ac:dyDescent="0.2">
      <c r="B21" s="2" t="s">
        <v>4</v>
      </c>
      <c r="C21" s="13">
        <f>C9*C10*C12</f>
        <v>125000</v>
      </c>
      <c r="G21" s="2" t="s">
        <v>22</v>
      </c>
      <c r="H21" s="16">
        <v>1000000</v>
      </c>
    </row>
    <row r="22" spans="2:15" x14ac:dyDescent="0.2">
      <c r="B22" s="2" t="s">
        <v>5</v>
      </c>
      <c r="C22" s="14">
        <v>1000</v>
      </c>
    </row>
    <row r="23" spans="2:15" x14ac:dyDescent="0.2">
      <c r="B23" s="2" t="s">
        <v>13</v>
      </c>
      <c r="C23" s="13">
        <v>900780</v>
      </c>
    </row>
    <row r="24" spans="2:15" x14ac:dyDescent="0.2">
      <c r="B24" s="2" t="s">
        <v>14</v>
      </c>
      <c r="C24" s="13">
        <v>550000</v>
      </c>
    </row>
    <row r="25" spans="2:15" x14ac:dyDescent="0.2">
      <c r="B25" s="4" t="s">
        <v>15</v>
      </c>
      <c r="C25" s="15">
        <f>SUM(C21:C24)</f>
        <v>1576780</v>
      </c>
    </row>
    <row r="26" spans="2:15" x14ac:dyDescent="0.2">
      <c r="B26" s="4"/>
      <c r="C26" s="5"/>
    </row>
    <row r="27" spans="2:15" ht="16" x14ac:dyDescent="0.2">
      <c r="B27" s="38" t="s">
        <v>6</v>
      </c>
      <c r="C27" s="38"/>
    </row>
    <row r="28" spans="2:15" x14ac:dyDescent="0.2">
      <c r="B28" s="4" t="s">
        <v>7</v>
      </c>
      <c r="C28" s="15">
        <f>C18-C25</f>
        <v>848220</v>
      </c>
    </row>
    <row r="31" spans="2:15" x14ac:dyDescent="0.2">
      <c r="G31" s="5"/>
    </row>
  </sheetData>
  <mergeCells count="6">
    <mergeCell ref="B27:C27"/>
    <mergeCell ref="B2:C2"/>
    <mergeCell ref="B4:C4"/>
    <mergeCell ref="B14:C14"/>
    <mergeCell ref="H9:O9"/>
    <mergeCell ref="F11:F18"/>
  </mergeCells>
  <conditionalFormatting sqref="H11:O18">
    <cfRule type="cellIs" dxfId="0" priority="1" operator="greaterThanOrEqual">
      <formula>$H$21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FE7B-181E-4348-A414-3835424D3A1C}">
  <dimension ref="B2:C28"/>
  <sheetViews>
    <sheetView workbookViewId="0">
      <selection activeCell="C28" sqref="C28"/>
    </sheetView>
  </sheetViews>
  <sheetFormatPr baseColWidth="10" defaultColWidth="8.83203125" defaultRowHeight="15" x14ac:dyDescent="0.2"/>
  <cols>
    <col min="2" max="2" width="30.83203125" bestFit="1" customWidth="1"/>
    <col min="3" max="3" width="14.33203125" bestFit="1" customWidth="1"/>
    <col min="4" max="4" width="6.5" customWidth="1"/>
    <col min="5" max="5" width="6.1640625" customWidth="1"/>
  </cols>
  <sheetData>
    <row r="2" spans="2:3" ht="21" x14ac:dyDescent="0.25">
      <c r="B2" s="39" t="s">
        <v>23</v>
      </c>
      <c r="C2" s="39"/>
    </row>
    <row r="4" spans="2:3" ht="16" x14ac:dyDescent="0.2">
      <c r="B4" s="38" t="s">
        <v>1</v>
      </c>
      <c r="C4" s="38"/>
    </row>
    <row r="5" spans="2:3" x14ac:dyDescent="0.2">
      <c r="B5" s="2" t="s">
        <v>19</v>
      </c>
      <c r="C5" s="11">
        <v>11</v>
      </c>
    </row>
    <row r="6" spans="2:3" x14ac:dyDescent="0.2">
      <c r="B6" s="2" t="s">
        <v>20</v>
      </c>
      <c r="C6" s="12">
        <v>85178</v>
      </c>
    </row>
    <row r="7" spans="2:3" x14ac:dyDescent="0.2">
      <c r="B7" s="2" t="s">
        <v>11</v>
      </c>
      <c r="C7" s="11">
        <v>9</v>
      </c>
    </row>
    <row r="8" spans="2:3" x14ac:dyDescent="0.2">
      <c r="B8" s="2" t="s">
        <v>21</v>
      </c>
      <c r="C8" s="10">
        <v>75000</v>
      </c>
    </row>
    <row r="9" spans="2:3" x14ac:dyDescent="0.2">
      <c r="B9" s="6" t="s">
        <v>0</v>
      </c>
      <c r="C9" s="3">
        <f>C6+C8</f>
        <v>160178</v>
      </c>
    </row>
    <row r="10" spans="2:3" x14ac:dyDescent="0.2">
      <c r="B10" s="2" t="s">
        <v>8</v>
      </c>
      <c r="C10" s="9">
        <v>0.8</v>
      </c>
    </row>
    <row r="11" spans="2:3" x14ac:dyDescent="0.2">
      <c r="B11" s="2" t="s">
        <v>10</v>
      </c>
      <c r="C11" s="9">
        <f>C8/C9</f>
        <v>0.468229095131666</v>
      </c>
    </row>
    <row r="12" spans="2:3" x14ac:dyDescent="0.2">
      <c r="B12" s="2" t="s">
        <v>2</v>
      </c>
      <c r="C12" s="11">
        <v>1.25</v>
      </c>
    </row>
    <row r="14" spans="2:3" ht="16" x14ac:dyDescent="0.2">
      <c r="B14" s="38" t="s">
        <v>9</v>
      </c>
      <c r="C14" s="38"/>
    </row>
    <row r="15" spans="2:3" ht="16" x14ac:dyDescent="0.2">
      <c r="B15" s="7" t="s">
        <v>16</v>
      </c>
      <c r="C15" s="11">
        <f>C6*C5</f>
        <v>936958</v>
      </c>
    </row>
    <row r="16" spans="2:3" ht="16" x14ac:dyDescent="0.2">
      <c r="B16" s="7" t="s">
        <v>17</v>
      </c>
      <c r="C16" s="11">
        <f>C7*C8</f>
        <v>675000</v>
      </c>
    </row>
    <row r="17" spans="2:3" x14ac:dyDescent="0.2">
      <c r="B17" s="2" t="s">
        <v>18</v>
      </c>
      <c r="C17" s="11">
        <v>1200000</v>
      </c>
    </row>
    <row r="18" spans="2:3" x14ac:dyDescent="0.2">
      <c r="B18" s="4" t="s">
        <v>3</v>
      </c>
      <c r="C18" s="15">
        <f>SUM(C15:C17)</f>
        <v>2811958</v>
      </c>
    </row>
    <row r="20" spans="2:3" ht="16" x14ac:dyDescent="0.2">
      <c r="B20" s="8" t="s">
        <v>12</v>
      </c>
      <c r="C20" s="8"/>
    </row>
    <row r="21" spans="2:3" x14ac:dyDescent="0.2">
      <c r="B21" s="2" t="s">
        <v>4</v>
      </c>
      <c r="C21" s="13">
        <f>C9*C10*C12</f>
        <v>160178</v>
      </c>
    </row>
    <row r="22" spans="2:3" x14ac:dyDescent="0.2">
      <c r="B22" s="2" t="s">
        <v>5</v>
      </c>
      <c r="C22" s="14">
        <v>1000</v>
      </c>
    </row>
    <row r="23" spans="2:3" x14ac:dyDescent="0.2">
      <c r="B23" s="2" t="s">
        <v>13</v>
      </c>
      <c r="C23" s="13">
        <v>900780</v>
      </c>
    </row>
    <row r="24" spans="2:3" x14ac:dyDescent="0.2">
      <c r="B24" s="2" t="s">
        <v>14</v>
      </c>
      <c r="C24" s="13">
        <v>550000</v>
      </c>
    </row>
    <row r="25" spans="2:3" x14ac:dyDescent="0.2">
      <c r="B25" s="4" t="s">
        <v>15</v>
      </c>
      <c r="C25" s="15">
        <f>SUM(C21:C24)</f>
        <v>1611958</v>
      </c>
    </row>
    <row r="26" spans="2:3" x14ac:dyDescent="0.2">
      <c r="B26" s="4"/>
      <c r="C26" s="5"/>
    </row>
    <row r="27" spans="2:3" ht="16" x14ac:dyDescent="0.2">
      <c r="B27" s="38" t="s">
        <v>6</v>
      </c>
      <c r="C27" s="38"/>
    </row>
    <row r="28" spans="2:3" x14ac:dyDescent="0.2">
      <c r="B28" s="4" t="s">
        <v>7</v>
      </c>
      <c r="C28" s="42">
        <f>C18-C25</f>
        <v>1200000</v>
      </c>
    </row>
  </sheetData>
  <scenarios current="1" sqref="C18 C25 C28">
    <scenario name="Current" locked="1" count="8" user="Microsoft Office User" comment="Created by Microsoft Office User on 11/15/2025">
      <inputCells r="C5" val="11" numFmtId="164"/>
      <inputCells r="C6" val="50000" numFmtId="165"/>
      <inputCells r="C7" val="9" numFmtId="164"/>
      <inputCells r="C8" val="75000"/>
      <inputCells r="C12" val="1.25" numFmtId="164"/>
      <inputCells r="C17" val="1200000" numFmtId="164"/>
      <inputCells r="C23" val="900780" numFmtId="164"/>
      <inputCells r="C24" val="550000" numFmtId="164"/>
    </scenario>
    <scenario name="IncreaseRevenue" locked="1" count="8" user="Microsoft Office User" comment="Created by Microsoft Office User on 11/15/2025">
      <inputCells r="C5" val="13" numFmtId="164"/>
      <inputCells r="C6" val="48000" numFmtId="165"/>
      <inputCells r="C7" val="11" numFmtId="164"/>
      <inputCells r="C8" val="74500"/>
      <inputCells r="C12" val="1.25" numFmtId="164"/>
      <inputCells r="C17" val="1100000" numFmtId="164"/>
      <inputCells r="C23" val="900780" numFmtId="164"/>
      <inputCells r="C24" val="550000" numFmtId="164"/>
    </scenario>
    <scenario name="DecreaseExpenses" locked="1" count="8" user="Microsoft Office User" comment="Created by Microsoft Office User on 11/15/2025">
      <inputCells r="C5" val="11" numFmtId="164"/>
      <inputCells r="C6" val="50000" numFmtId="165"/>
      <inputCells r="C7" val="9" numFmtId="164"/>
      <inputCells r="C8" val="75000"/>
      <inputCells r="C12" val="0.9" numFmtId="164"/>
      <inputCells r="C17" val="1200000" numFmtId="164"/>
      <inputCells r="C23" val="900000" numFmtId="164"/>
      <inputCells r="C24" val="545000" numFmtId="164"/>
    </scenario>
  </scenarios>
  <mergeCells count="4">
    <mergeCell ref="B2:C2"/>
    <mergeCell ref="B4:C4"/>
    <mergeCell ref="B14:C14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73E1-75B6-2B4F-AA01-C5445870E4E5}">
  <sheetPr>
    <outlinePr summaryBelow="0"/>
  </sheetPr>
  <dimension ref="B1:F20"/>
  <sheetViews>
    <sheetView showGridLines="0" workbookViewId="0">
      <selection activeCell="C29" sqref="C29"/>
    </sheetView>
  </sheetViews>
  <sheetFormatPr baseColWidth="10" defaultRowHeight="15" outlineLevelRow="1" outlineLevelCol="1" x14ac:dyDescent="0.2"/>
  <cols>
    <col min="3" max="3" width="25.33203125" bestFit="1" customWidth="1"/>
    <col min="4" max="4" width="13.6640625" customWidth="1" outlineLevel="1"/>
    <col min="5" max="6" width="13.5" bestFit="1" customWidth="1" outlineLevel="1"/>
  </cols>
  <sheetData>
    <row r="1" spans="2:6" ht="16" thickBot="1" x14ac:dyDescent="0.25"/>
    <row r="2" spans="2:6" ht="16" x14ac:dyDescent="0.2">
      <c r="B2" s="27" t="s">
        <v>37</v>
      </c>
      <c r="C2" s="27"/>
      <c r="D2" s="32"/>
      <c r="E2" s="32"/>
      <c r="F2" s="32"/>
    </row>
    <row r="3" spans="2:6" ht="16" collapsed="1" x14ac:dyDescent="0.2">
      <c r="B3" s="26"/>
      <c r="C3" s="26"/>
      <c r="D3" s="33" t="s">
        <v>33</v>
      </c>
      <c r="E3" s="33" t="s">
        <v>35</v>
      </c>
      <c r="F3" s="33" t="s">
        <v>36</v>
      </c>
    </row>
    <row r="4" spans="2:6" ht="36" hidden="1" outlineLevel="1" x14ac:dyDescent="0.2">
      <c r="B4" s="29"/>
      <c r="C4" s="29"/>
      <c r="D4" s="37" t="s">
        <v>34</v>
      </c>
      <c r="E4" s="37" t="s">
        <v>34</v>
      </c>
      <c r="F4" s="37" t="s">
        <v>34</v>
      </c>
    </row>
    <row r="5" spans="2:6" x14ac:dyDescent="0.2">
      <c r="B5" s="30" t="s">
        <v>38</v>
      </c>
      <c r="C5" s="30"/>
      <c r="D5" s="28"/>
      <c r="E5" s="28"/>
      <c r="F5" s="28"/>
    </row>
    <row r="6" spans="2:6" outlineLevel="1" x14ac:dyDescent="0.2">
      <c r="B6" s="29"/>
      <c r="C6" s="29" t="s">
        <v>24</v>
      </c>
      <c r="D6" s="34">
        <v>11</v>
      </c>
      <c r="E6" s="34">
        <v>13</v>
      </c>
      <c r="F6" s="34">
        <v>11</v>
      </c>
    </row>
    <row r="7" spans="2:6" outlineLevel="1" x14ac:dyDescent="0.2">
      <c r="B7" s="29"/>
      <c r="C7" s="29" t="s">
        <v>25</v>
      </c>
      <c r="D7" s="35">
        <v>50000</v>
      </c>
      <c r="E7" s="35">
        <v>48000</v>
      </c>
      <c r="F7" s="35">
        <v>50000</v>
      </c>
    </row>
    <row r="8" spans="2:6" outlineLevel="1" x14ac:dyDescent="0.2">
      <c r="B8" s="29"/>
      <c r="C8" s="29" t="s">
        <v>26</v>
      </c>
      <c r="D8" s="34">
        <v>9</v>
      </c>
      <c r="E8" s="34">
        <v>11</v>
      </c>
      <c r="F8" s="34">
        <v>9</v>
      </c>
    </row>
    <row r="9" spans="2:6" outlineLevel="1" x14ac:dyDescent="0.2">
      <c r="B9" s="29"/>
      <c r="C9" s="29" t="s">
        <v>27</v>
      </c>
      <c r="D9" s="36">
        <v>75000</v>
      </c>
      <c r="E9" s="36">
        <v>74500</v>
      </c>
      <c r="F9" s="36">
        <v>75000</v>
      </c>
    </row>
    <row r="10" spans="2:6" outlineLevel="1" x14ac:dyDescent="0.2">
      <c r="B10" s="29"/>
      <c r="C10" s="29" t="s">
        <v>28</v>
      </c>
      <c r="D10" s="34">
        <v>1.25</v>
      </c>
      <c r="E10" s="34">
        <v>1.25</v>
      </c>
      <c r="F10" s="34">
        <v>0.9</v>
      </c>
    </row>
    <row r="11" spans="2:6" outlineLevel="1" x14ac:dyDescent="0.2">
      <c r="B11" s="29"/>
      <c r="C11" s="29" t="s">
        <v>29</v>
      </c>
      <c r="D11" s="34">
        <v>1200000</v>
      </c>
      <c r="E11" s="34">
        <v>1100000</v>
      </c>
      <c r="F11" s="34">
        <v>1200000</v>
      </c>
    </row>
    <row r="12" spans="2:6" outlineLevel="1" x14ac:dyDescent="0.2">
      <c r="B12" s="29"/>
      <c r="C12" s="29" t="s">
        <v>30</v>
      </c>
      <c r="D12" s="34">
        <v>900780</v>
      </c>
      <c r="E12" s="34">
        <v>900780</v>
      </c>
      <c r="F12" s="34">
        <v>900000</v>
      </c>
    </row>
    <row r="13" spans="2:6" outlineLevel="1" x14ac:dyDescent="0.2">
      <c r="B13" s="29"/>
      <c r="C13" s="29" t="s">
        <v>31</v>
      </c>
      <c r="D13" s="34">
        <v>550000</v>
      </c>
      <c r="E13" s="34">
        <v>550000</v>
      </c>
      <c r="F13" s="34">
        <v>545000</v>
      </c>
    </row>
    <row r="14" spans="2:6" x14ac:dyDescent="0.2">
      <c r="B14" s="30" t="s">
        <v>39</v>
      </c>
      <c r="C14" s="30"/>
      <c r="D14" s="28"/>
      <c r="E14" s="28"/>
      <c r="F14" s="28"/>
    </row>
    <row r="15" spans="2:6" outlineLevel="1" x14ac:dyDescent="0.2">
      <c r="B15" s="29"/>
      <c r="C15" s="29" t="s">
        <v>43</v>
      </c>
      <c r="D15" s="24">
        <v>2425000</v>
      </c>
      <c r="E15" s="24">
        <v>2543500</v>
      </c>
      <c r="F15" s="24">
        <v>2425000</v>
      </c>
    </row>
    <row r="16" spans="2:6" outlineLevel="1" x14ac:dyDescent="0.2">
      <c r="B16" s="29"/>
      <c r="C16" s="29" t="s">
        <v>44</v>
      </c>
      <c r="D16" s="24">
        <v>1576780</v>
      </c>
      <c r="E16" s="24">
        <v>1574280</v>
      </c>
      <c r="F16" s="24">
        <v>1536000</v>
      </c>
    </row>
    <row r="17" spans="2:6" ht="16" outlineLevel="1" thickBot="1" x14ac:dyDescent="0.25">
      <c r="B17" s="31"/>
      <c r="C17" s="31" t="s">
        <v>32</v>
      </c>
      <c r="D17" s="25">
        <v>848220</v>
      </c>
      <c r="E17" s="25">
        <v>969220</v>
      </c>
      <c r="F17" s="25">
        <v>889000</v>
      </c>
    </row>
    <row r="18" spans="2:6" x14ac:dyDescent="0.2">
      <c r="B18" t="s">
        <v>40</v>
      </c>
    </row>
    <row r="19" spans="2:6" x14ac:dyDescent="0.2">
      <c r="B19" t="s">
        <v>41</v>
      </c>
    </row>
    <row r="20" spans="2:6" x14ac:dyDescent="0.2">
      <c r="B20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Wz+g50wUBaR/yYKRSp8Em0ch5NDHFdZGQmryICeslguqxHTzcjDSwmAldiED9fDAz9PFOQ2uK0xttXamVUnrZca6Z1knhLoz-~tta5QB++MKnPNT5rEkWVxQ==#@#14812702#@#4/17/2024 8:39:13 AM</id>
</project>
</file>

<file path=customXml/itemProps1.xml><?xml version="1.0" encoding="utf-8"?>
<ds:datastoreItem xmlns:ds="http://schemas.openxmlformats.org/officeDocument/2006/customXml" ds:itemID="{3A384EF4-7056-D544-A74E-24020D79A2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Imperial Theater forecast</vt:lpstr>
      <vt:lpstr>goal_seek</vt:lpstr>
      <vt:lpstr>Scenario Summary </vt:lpstr>
      <vt:lpstr>Annual_Expenses</vt:lpstr>
      <vt:lpstr>Assumptions</vt:lpstr>
      <vt:lpstr>Box_office_ticket_price</vt:lpstr>
      <vt:lpstr>Box_office_ticket_revenue</vt:lpstr>
      <vt:lpstr>Box_office_tickets_sold</vt:lpstr>
      <vt:lpstr>CC_processing_fee_transaction</vt:lpstr>
      <vt:lpstr>CC_processing_fees</vt:lpstr>
      <vt:lpstr>Concession_stand_revenue</vt:lpstr>
      <vt:lpstr>Credit_card_percentage</vt:lpstr>
      <vt:lpstr>Food_Order</vt:lpstr>
      <vt:lpstr>Imperial_Movie_Theatre</vt:lpstr>
      <vt:lpstr>Net_Profit</vt:lpstr>
      <vt:lpstr>Online_ticket_percentage</vt:lpstr>
      <vt:lpstr>Online_ticket_price</vt:lpstr>
      <vt:lpstr>Online_ticket_revenue</vt:lpstr>
      <vt:lpstr>Online_tickets_sold</vt:lpstr>
      <vt:lpstr>Profit</vt:lpstr>
      <vt:lpstr>Staff__Part_time__Full_time</vt:lpstr>
      <vt:lpstr>Ticket_Sales</vt:lpstr>
      <vt:lpstr>Total_expenses</vt:lpstr>
      <vt:lpstr>Total_Sales</vt:lpstr>
      <vt:lpstr>Total_Tickets_sold</vt:lpstr>
      <vt:lpstr>Web_hosting_fee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Maggie Casasnovas</cp:lastModifiedBy>
  <dcterms:created xsi:type="dcterms:W3CDTF">2014-04-16T00:15:48Z</dcterms:created>
  <dcterms:modified xsi:type="dcterms:W3CDTF">2025-11-16T14:20:32Z</dcterms:modified>
</cp:coreProperties>
</file>